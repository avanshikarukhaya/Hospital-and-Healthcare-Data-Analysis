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43455719764aab/Desktop/Worksheets/Sem3/Data Analytics/Hospital_Data_Analysis_Project/Dataset/"/>
    </mc:Choice>
  </mc:AlternateContent>
  <xr:revisionPtr revIDLastSave="115" documentId="8_{9295DB0C-497B-40CC-A7DF-7A3B2A60B7E8}" xr6:coauthVersionLast="47" xr6:coauthVersionMax="47" xr10:uidLastSave="{4DF89B98-912F-4335-90F2-02E8648C8BFC}"/>
  <bookViews>
    <workbookView xWindow="-108" yWindow="-108" windowWidth="23256" windowHeight="12456" activeTab="1" xr2:uid="{8E4EDAB1-E977-4CB3-9757-225FCDB1B153}"/>
  </bookViews>
  <sheets>
    <sheet name="Sheet1" sheetId="1" r:id="rId1"/>
    <sheet name="Summa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4" i="2"/>
  <c r="D15" i="2"/>
  <c r="D16" i="2"/>
  <c r="C13" i="2"/>
  <c r="C14" i="2"/>
  <c r="C15" i="2"/>
  <c r="C16" i="2"/>
  <c r="B13" i="2"/>
  <c r="B14" i="2"/>
  <c r="B15" i="2"/>
  <c r="B16" i="2"/>
  <c r="B12" i="2"/>
  <c r="C12" i="2"/>
  <c r="D12" i="2"/>
  <c r="B3" i="2"/>
  <c r="B4" i="2"/>
  <c r="B7" i="2"/>
  <c r="B6" i="2"/>
  <c r="B5" i="2"/>
</calcChain>
</file>

<file path=xl/sharedStrings.xml><?xml version="1.0" encoding="utf-8"?>
<sst xmlns="http://schemas.openxmlformats.org/spreadsheetml/2006/main" count="75" uniqueCount="39">
  <si>
    <t>Patient_ID</t>
  </si>
  <si>
    <t>Visit_Date</t>
  </si>
  <si>
    <t>Department</t>
  </si>
  <si>
    <t>Age</t>
  </si>
  <si>
    <t>Gender</t>
  </si>
  <si>
    <t>Admission_Type</t>
  </si>
  <si>
    <t>Waiting_Time_Min</t>
  </si>
  <si>
    <t>Treatment_Cost</t>
  </si>
  <si>
    <t>Length_of_Stay_Days</t>
  </si>
  <si>
    <t>Discharge_Status</t>
  </si>
  <si>
    <t>P1001</t>
  </si>
  <si>
    <t>Cardiology</t>
  </si>
  <si>
    <t>Female</t>
  </si>
  <si>
    <t>Emergency</t>
  </si>
  <si>
    <t>Discharged</t>
  </si>
  <si>
    <t>P1002</t>
  </si>
  <si>
    <t>Neurology</t>
  </si>
  <si>
    <t>Male</t>
  </si>
  <si>
    <t>Scheduled</t>
  </si>
  <si>
    <t>P1003</t>
  </si>
  <si>
    <t>Orthopedics</t>
  </si>
  <si>
    <t>P1004</t>
  </si>
  <si>
    <t>Pediatrics</t>
  </si>
  <si>
    <t>P1005</t>
  </si>
  <si>
    <t>General Medicine</t>
  </si>
  <si>
    <t>P1006</t>
  </si>
  <si>
    <t>Admitted</t>
  </si>
  <si>
    <t>P1007</t>
  </si>
  <si>
    <t>P1008</t>
  </si>
  <si>
    <t>P1009</t>
  </si>
  <si>
    <t>P1010</t>
  </si>
  <si>
    <t>Hospital Data Summary</t>
  </si>
  <si>
    <t>Total Patient Records</t>
  </si>
  <si>
    <t>Total Treatment Cost</t>
  </si>
  <si>
    <t>Average Waiting Time</t>
  </si>
  <si>
    <t>Average Length of Stay</t>
  </si>
  <si>
    <t>Discharged Records</t>
  </si>
  <si>
    <t>Patient Records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</si>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</sst>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  <c:pt idx="0">
                  <c:v>Patient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Summary!$A$12:$A$16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General Medicine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0-40AA-BF25-B5EAC277E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777856"/>
        <c:axId val="600182512"/>
      </c:barChart>
      <c:catAx>
        <c:axId val="6017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82512"/>
        <c:crosses val="autoZero"/>
        <c:auto val="1"/>
        <c:lblAlgn val="ctr"/>
        <c:lblOffset val="100"/>
        <c:noMultiLvlLbl val="0"/>
      </c:catAx>
      <c:valAx>
        <c:axId val="6001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7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Summary!$A$12:$A$16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Orthopedics</c:v>
                </c:pt>
                <c:pt idx="3">
                  <c:v>Pediatrics</c:v>
                </c:pt>
                <c:pt idx="4">
                  <c:v>General Medicine</c:v>
                </c:pt>
              </c:strCache>
            </c:strRef>
          </c:cat>
          <c:val>
            <c:numRef>
              <c:f>Summary!$C$12:$C$16</c:f>
              <c:numCache>
                <c:formatCode>General</c:formatCode>
                <c:ptCount val="5"/>
                <c:pt idx="0">
                  <c:v>26500</c:v>
                </c:pt>
                <c:pt idx="1">
                  <c:v>21500</c:v>
                </c:pt>
                <c:pt idx="2">
                  <c:v>26000</c:v>
                </c:pt>
                <c:pt idx="3">
                  <c:v>7500</c:v>
                </c:pt>
                <c:pt idx="4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E-4A3E-9CE8-76884257B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737008"/>
        <c:axId val="600068752"/>
      </c:barChart>
      <c:catAx>
        <c:axId val="60273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68752"/>
        <c:crosses val="autoZero"/>
        <c:auto val="1"/>
        <c:lblAlgn val="ctr"/>
        <c:lblOffset val="100"/>
        <c:noMultiLvlLbl val="0"/>
      </c:catAx>
      <c:valAx>
        <c:axId val="6000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73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1</xdr:row>
      <xdr:rowOff>167640</xdr:rowOff>
    </xdr:from>
    <xdr:to>
      <xdr:col>19</xdr:col>
      <xdr:colOff>548640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9CC93-A3DF-ABC9-EBCE-AFA013A6E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220980</xdr:colOff>
      <xdr:row>0</xdr:row>
      <xdr:rowOff>121920</xdr:rowOff>
    </xdr:from>
    <xdr:to>
      <xdr:col>11</xdr:col>
      <xdr:colOff>525780</xdr:colOff>
      <xdr:row>15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9638F-6C61-19B8-559D-692357025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spital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spital_Dat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2F582-5A5E-4B7F-8E44-07DDF0F512F1}" name="Table1" displayName="Table1" ref="A1:J11" totalsRowShown="0">
  <autoFilter ref="A1:J11" xr:uid="{4E72F582-5A5E-4B7F-8E44-07DDF0F512F1}"/>
  <tableColumns count="10">
    <tableColumn id="2" xr3:uid="{60DBFE71-1402-4FC8-8BCA-ED960664014E}" name="Patient_ID"/>
    <tableColumn id="3" xr3:uid="{8A68C180-FF89-4698-A9C9-0C31B25F1BEB}" name="Visit_Date" dataDxfId="0"/>
    <tableColumn id="4" xr3:uid="{511DE0EF-8384-4A8D-A5D0-0F86C5714CF8}" name="Department"/>
    <tableColumn id="5" xr3:uid="{5E415038-0126-4A04-A67A-D98961110A61}" name="Age"/>
    <tableColumn id="6" xr3:uid="{9D5E4285-5416-48D8-B56F-0355BE18D494}" name="Gender"/>
    <tableColumn id="7" xr3:uid="{7AD7D2BC-5A35-4F7D-9267-4F218046DAE7}" name="Admission_Type"/>
    <tableColumn id="8" xr3:uid="{BEEDA994-854B-4D2A-938D-50868B17C094}" name="Waiting_Time_Min"/>
    <tableColumn id="9" xr3:uid="{52235ECA-4D8D-4D03-B2A9-8B8DA492A596}" name="Treatment_Cost"/>
    <tableColumn id="10" xr3:uid="{00247D0F-5ACB-45AE-A094-63D304634DA7}" name="Length_of_Stay_Days"/>
    <tableColumn id="11" xr3:uid="{44966B88-3B4A-4185-8BE1-780ADE07E575}" name="Discharg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C292-661A-4318-B0FB-4B63C7D5BF33}">
  <dimension ref="A1:J12"/>
  <sheetViews>
    <sheetView workbookViewId="0"/>
  </sheetViews>
  <sheetFormatPr defaultRowHeight="14.4"/>
  <cols>
    <col min="1" max="1" width="9.77734375" customWidth="1"/>
    <col min="2" max="2" width="11.6640625" customWidth="1"/>
    <col min="3" max="3" width="11.33203125" customWidth="1"/>
    <col min="4" max="4" width="13" customWidth="1"/>
    <col min="6" max="6" width="9" customWidth="1"/>
    <col min="7" max="7" width="16.6640625" customWidth="1"/>
    <col min="8" max="8" width="18.77734375" customWidth="1"/>
    <col min="9" max="9" width="16.33203125" customWidth="1"/>
    <col min="10" max="10" width="21.109375" customWidth="1"/>
    <col min="11" max="11" width="17.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>
        <v>45</v>
      </c>
      <c r="E2" t="s">
        <v>12</v>
      </c>
      <c r="F2" t="s">
        <v>13</v>
      </c>
      <c r="G2">
        <v>35</v>
      </c>
      <c r="H2">
        <v>8500</v>
      </c>
      <c r="I2">
        <v>3</v>
      </c>
      <c r="J2" t="s">
        <v>14</v>
      </c>
    </row>
    <row r="3" spans="1:10">
      <c r="A3" t="s">
        <v>15</v>
      </c>
      <c r="B3" s="1">
        <v>46024</v>
      </c>
      <c r="C3" t="s">
        <v>16</v>
      </c>
      <c r="D3">
        <v>62</v>
      </c>
      <c r="E3" t="s">
        <v>17</v>
      </c>
      <c r="F3" t="s">
        <v>18</v>
      </c>
      <c r="G3">
        <v>25</v>
      </c>
      <c r="H3">
        <v>12000</v>
      </c>
      <c r="I3">
        <v>4</v>
      </c>
      <c r="J3" t="s">
        <v>14</v>
      </c>
    </row>
    <row r="4" spans="1:10">
      <c r="A4" t="s">
        <v>19</v>
      </c>
      <c r="B4" s="1">
        <v>46025</v>
      </c>
      <c r="C4" t="s">
        <v>20</v>
      </c>
      <c r="D4">
        <v>30</v>
      </c>
      <c r="E4" t="s">
        <v>12</v>
      </c>
      <c r="F4" t="s">
        <v>13</v>
      </c>
      <c r="G4">
        <v>70</v>
      </c>
      <c r="H4">
        <v>15000</v>
      </c>
      <c r="I4">
        <v>5</v>
      </c>
      <c r="J4" t="s">
        <v>14</v>
      </c>
    </row>
    <row r="5" spans="1:10">
      <c r="A5" t="s">
        <v>21</v>
      </c>
      <c r="B5" s="1">
        <v>46026</v>
      </c>
      <c r="C5" t="s">
        <v>22</v>
      </c>
      <c r="D5">
        <v>12</v>
      </c>
      <c r="E5" t="s">
        <v>17</v>
      </c>
      <c r="F5" t="s">
        <v>18</v>
      </c>
      <c r="G5">
        <v>20</v>
      </c>
      <c r="H5">
        <v>4500</v>
      </c>
      <c r="I5">
        <v>2</v>
      </c>
      <c r="J5" t="s">
        <v>14</v>
      </c>
    </row>
    <row r="6" spans="1:10">
      <c r="A6" t="s">
        <v>23</v>
      </c>
      <c r="B6" s="1">
        <v>46027</v>
      </c>
      <c r="C6" t="s">
        <v>24</v>
      </c>
      <c r="D6">
        <v>55</v>
      </c>
      <c r="E6" t="s">
        <v>12</v>
      </c>
      <c r="F6" t="s">
        <v>13</v>
      </c>
      <c r="G6">
        <v>50</v>
      </c>
      <c r="H6">
        <v>6000</v>
      </c>
      <c r="I6">
        <v>2</v>
      </c>
      <c r="J6" t="s">
        <v>14</v>
      </c>
    </row>
    <row r="7" spans="1:10">
      <c r="A7" t="s">
        <v>25</v>
      </c>
      <c r="B7" s="1">
        <v>46028</v>
      </c>
      <c r="C7" t="s">
        <v>11</v>
      </c>
      <c r="D7">
        <v>70</v>
      </c>
      <c r="E7" t="s">
        <v>17</v>
      </c>
      <c r="F7" t="s">
        <v>18</v>
      </c>
      <c r="G7">
        <v>40</v>
      </c>
      <c r="H7">
        <v>18000</v>
      </c>
      <c r="I7">
        <v>6</v>
      </c>
      <c r="J7" t="s">
        <v>26</v>
      </c>
    </row>
    <row r="8" spans="1:10">
      <c r="A8" t="s">
        <v>27</v>
      </c>
      <c r="B8" s="1">
        <v>46029</v>
      </c>
      <c r="C8" t="s">
        <v>16</v>
      </c>
      <c r="D8">
        <v>25</v>
      </c>
      <c r="E8" t="s">
        <v>12</v>
      </c>
      <c r="F8" t="s">
        <v>13</v>
      </c>
      <c r="G8">
        <v>65</v>
      </c>
      <c r="H8">
        <v>9500</v>
      </c>
      <c r="I8">
        <v>3</v>
      </c>
      <c r="J8" t="s">
        <v>14</v>
      </c>
    </row>
    <row r="9" spans="1:10">
      <c r="A9" t="s">
        <v>28</v>
      </c>
      <c r="B9" s="1">
        <v>46030</v>
      </c>
      <c r="C9" t="s">
        <v>20</v>
      </c>
      <c r="D9">
        <v>48</v>
      </c>
      <c r="E9" t="s">
        <v>17</v>
      </c>
      <c r="F9" t="s">
        <v>18</v>
      </c>
      <c r="G9">
        <v>30</v>
      </c>
      <c r="H9">
        <v>11000</v>
      </c>
      <c r="I9">
        <v>4</v>
      </c>
      <c r="J9" t="s">
        <v>14</v>
      </c>
    </row>
    <row r="10" spans="1:10">
      <c r="A10" t="s">
        <v>29</v>
      </c>
      <c r="B10" s="1">
        <v>46031</v>
      </c>
      <c r="C10" t="s">
        <v>22</v>
      </c>
      <c r="D10">
        <v>8</v>
      </c>
      <c r="E10" t="s">
        <v>12</v>
      </c>
      <c r="F10" t="s">
        <v>13</v>
      </c>
      <c r="G10">
        <v>15</v>
      </c>
      <c r="H10">
        <v>3000</v>
      </c>
      <c r="I10">
        <v>1</v>
      </c>
      <c r="J10" t="s">
        <v>14</v>
      </c>
    </row>
    <row r="11" spans="1:10">
      <c r="A11" t="s">
        <v>30</v>
      </c>
      <c r="B11" s="1">
        <v>46032</v>
      </c>
      <c r="C11" t="s">
        <v>24</v>
      </c>
      <c r="D11">
        <v>35</v>
      </c>
      <c r="E11" t="s">
        <v>17</v>
      </c>
      <c r="F11" t="s">
        <v>18</v>
      </c>
      <c r="G11">
        <v>45</v>
      </c>
      <c r="H11">
        <v>5500</v>
      </c>
      <c r="I11">
        <v>2</v>
      </c>
      <c r="J11" t="s">
        <v>14</v>
      </c>
    </row>
    <row r="12" spans="1:10">
      <c r="C12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C5E0-25FD-4E8A-BB00-58C6DBF7C104}">
  <dimension ref="A1:D16"/>
  <sheetViews>
    <sheetView tabSelected="1" workbookViewId="0">
      <selection activeCell="H23" sqref="H23"/>
    </sheetView>
  </sheetViews>
  <sheetFormatPr defaultRowHeight="14.4"/>
  <cols>
    <col min="1" max="1" width="19.77734375" customWidth="1"/>
    <col min="2" max="2" width="14.109375" customWidth="1"/>
    <col min="3" max="3" width="10.44140625" customWidth="1"/>
    <col min="4" max="4" width="19.109375" customWidth="1"/>
  </cols>
  <sheetData>
    <row r="1" spans="1:4">
      <c r="A1" t="s">
        <v>31</v>
      </c>
    </row>
    <row r="3" spans="1:4">
      <c r="A3" t="s">
        <v>32</v>
      </c>
      <c r="B3">
        <f>COUNTA([1]Hospital_Data!A2:A11)</f>
        <v>10</v>
      </c>
    </row>
    <row r="4" spans="1:4">
      <c r="A4" t="s">
        <v>33</v>
      </c>
      <c r="B4">
        <f>SUM(Sheet1!H2:H11)</f>
        <v>93000</v>
      </c>
    </row>
    <row r="5" spans="1:4">
      <c r="A5" t="s">
        <v>34</v>
      </c>
      <c r="B5" s="2">
        <f>AVERAGE(Sheet1!G2:G11)</f>
        <v>39.5</v>
      </c>
    </row>
    <row r="6" spans="1:4">
      <c r="A6" t="s">
        <v>35</v>
      </c>
      <c r="B6">
        <f>AVERAGE(Sheet1!I2:I11)</f>
        <v>3.2</v>
      </c>
    </row>
    <row r="7" spans="1:4">
      <c r="A7" t="s">
        <v>36</v>
      </c>
      <c r="B7">
        <f>COUNTIF(Sheet1!J2:J11,"Discharged")</f>
        <v>9</v>
      </c>
    </row>
    <row r="11" spans="1:4">
      <c r="A11" t="s">
        <v>2</v>
      </c>
      <c r="B11" t="s">
        <v>37</v>
      </c>
      <c r="C11" t="s">
        <v>38</v>
      </c>
      <c r="D11" t="s">
        <v>34</v>
      </c>
    </row>
    <row r="12" spans="1:4">
      <c r="A12" t="s">
        <v>11</v>
      </c>
      <c r="B12">
        <f>COUNTIF(Sheet1!C2:C11,A12)</f>
        <v>2</v>
      </c>
      <c r="C12">
        <f>SUMIF(Sheet1!C2:C11,A12,Sheet1!H2:H11)</f>
        <v>26500</v>
      </c>
      <c r="D12">
        <f>AVERAGEIF(Sheet1!C2:C11,A12,Sheet1!G2:G11)</f>
        <v>37.5</v>
      </c>
    </row>
    <row r="13" spans="1:4">
      <c r="A13" t="s">
        <v>16</v>
      </c>
      <c r="B13">
        <f>COUNTIF(Sheet1!C3:C12,A13)</f>
        <v>2</v>
      </c>
      <c r="C13">
        <f>SUMIF(Sheet1!C3:C12,A13,Sheet1!H3:H12)</f>
        <v>21500</v>
      </c>
      <c r="D13">
        <f>AVERAGEIF(Sheet1!C3:C12,A13,Sheet1!G3:G12)</f>
        <v>45</v>
      </c>
    </row>
    <row r="14" spans="1:4">
      <c r="A14" t="s">
        <v>20</v>
      </c>
      <c r="B14">
        <f>COUNTIF(Sheet1!C4:C13,A14)</f>
        <v>2</v>
      </c>
      <c r="C14">
        <f>SUMIF(Sheet1!C4:C13,A14,Sheet1!H4:H13)</f>
        <v>26000</v>
      </c>
      <c r="D14">
        <f>AVERAGEIF(Sheet1!C4:C13,A14,Sheet1!G4:G13)</f>
        <v>50</v>
      </c>
    </row>
    <row r="15" spans="1:4">
      <c r="A15" t="s">
        <v>22</v>
      </c>
      <c r="B15">
        <f>COUNTIF(Sheet1!C5:C14,A15)</f>
        <v>2</v>
      </c>
      <c r="C15">
        <f>SUMIF(Sheet1!C5:C14,A15,Sheet1!H5:H14)</f>
        <v>7500</v>
      </c>
      <c r="D15">
        <f>AVERAGEIF(Sheet1!C5:C14,A15,Sheet1!G5:G14)</f>
        <v>17.5</v>
      </c>
    </row>
    <row r="16" spans="1:4">
      <c r="A16" t="s">
        <v>24</v>
      </c>
      <c r="B16">
        <f>COUNTIF(Sheet1!C6:C15,A16)</f>
        <v>2</v>
      </c>
      <c r="C16">
        <f>SUMIF(Sheet1!C6:C15,A16,Sheet1!H6:H15)</f>
        <v>11500</v>
      </c>
      <c r="D16">
        <f>AVERAGEIF(Sheet1!C6:C15,A16,Sheet1!G6:G15)</f>
        <v>47.5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Shayna Rukhaya</dc:creator>
  <cp:lastModifiedBy>Shayna Rukhaya</cp:lastModifiedBy>
  <dcterms:created xsi:type="dcterms:W3CDTF">2026-10-28T17:59:01Z</dcterms:created>
  <dcterms:modified xsi:type="dcterms:W3CDTF">2026-10-29T14:32:57Z</dcterms:modified>
</cp:coreProperties>
</file>